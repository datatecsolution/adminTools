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tmp/claude-501/-Users-jdmayorga-IdeaProjects-adminTools/6bd69fda-be5a-4436-909a-d733ec56fd60/scratchpad/"/>
    </mc:Choice>
  </mc:AlternateContent>
  <xr:revisionPtr revIDLastSave="0" documentId="13_ncr:1_{231F81A7-65AC-8344-BF14-85A4BB03115D}" xr6:coauthVersionLast="47" xr6:coauthVersionMax="47" xr10:uidLastSave="{00000000-0000-0000-0000-000000000000}"/>
  <bookViews>
    <workbookView xWindow="0" yWindow="660" windowWidth="30240" windowHeight="18980" activeTab="2" xr2:uid="{00000000-000D-0000-FFFF-FFFF00000000}"/>
  </bookViews>
  <sheets>
    <sheet name="Top 10 unidades" sheetId="1" r:id="rId1"/>
    <sheet name="Top 10 facturación" sheetId="2" r:id="rId2"/>
    <sheet name="Trimestral 2024-2026 + pro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3" l="1"/>
  <c r="C32" i="3"/>
  <c r="B32" i="3"/>
  <c r="D31" i="3"/>
  <c r="C31" i="3"/>
  <c r="B31" i="3"/>
  <c r="D30" i="3"/>
  <c r="C30" i="3"/>
  <c r="B30" i="3"/>
  <c r="D29" i="3"/>
  <c r="C29" i="3"/>
  <c r="B29" i="3"/>
</calcChain>
</file>

<file path=xl/sharedStrings.xml><?xml version="1.0" encoding="utf-8"?>
<sst xmlns="http://schemas.openxmlformats.org/spreadsheetml/2006/main" count="213" uniqueCount="96">
  <si>
    <t>Top 10 por unidades vendidas</t>
  </si>
  <si>
    <t>Período: 18-jul-2025 al 18-jul-2026 · Cajas 1, 3 y 4 consolidadas · Excluye facturas anuladas y categoría TECNO</t>
  </si>
  <si>
    <t>Pasteleria  —  L 1,125,858 en el año</t>
  </si>
  <si>
    <t>#</t>
  </si>
  <si>
    <t>Producto</t>
  </si>
  <si>
    <t>Unidades</t>
  </si>
  <si>
    <t>Total (L)</t>
  </si>
  <si>
    <t>% de la categoría</t>
  </si>
  <si>
    <t>Torta con caramelo</t>
  </si>
  <si>
    <t>Pastel mediano</t>
  </si>
  <si>
    <t>Pastel mini</t>
  </si>
  <si>
    <t>Pastel pequeño</t>
  </si>
  <si>
    <t>Torta para cafe</t>
  </si>
  <si>
    <t>Pastel cuadrado</t>
  </si>
  <si>
    <t>Pastel de 2 pisos</t>
  </si>
  <si>
    <t>Pastel en porcion</t>
  </si>
  <si>
    <t xml:space="preserve">Empaques </t>
  </si>
  <si>
    <t>Panaderia  —  L 855,470 en el año</t>
  </si>
  <si>
    <t>Semita concha</t>
  </si>
  <si>
    <t>Dona sencilla</t>
  </si>
  <si>
    <t>Pan de banano</t>
  </si>
  <si>
    <t>Semita casera</t>
  </si>
  <si>
    <t>Quesadilla</t>
  </si>
  <si>
    <t>Pastelitos de piña</t>
  </si>
  <si>
    <t>Empanadia de queso</t>
  </si>
  <si>
    <t>Pan de coco</t>
  </si>
  <si>
    <t>Pan de zanahoria</t>
  </si>
  <si>
    <t>Roles pequeño</t>
  </si>
  <si>
    <t>Reposteria  —  L 506,416 en el año</t>
  </si>
  <si>
    <t>Pastel 3 leche porcion</t>
  </si>
  <si>
    <t xml:space="preserve">Cupcake </t>
  </si>
  <si>
    <t>Brazo gitano de galea de piña</t>
  </si>
  <si>
    <t>Flan 1 porcion</t>
  </si>
  <si>
    <t>Tartaletas pequenas</t>
  </si>
  <si>
    <t>Chochoflan en porcion</t>
  </si>
  <si>
    <t>Brownies</t>
  </si>
  <si>
    <t>Tiramizu pedazo</t>
  </si>
  <si>
    <t>Cheesecake porcion</t>
  </si>
  <si>
    <t>Pastel 3 leches pequeño</t>
  </si>
  <si>
    <t>Cafeteria  —  L 86,193 en el año</t>
  </si>
  <si>
    <t>Cappuchino 8 onzas</t>
  </si>
  <si>
    <t>Cappuchino 12 onzas</t>
  </si>
  <si>
    <t>Refresco en lata</t>
  </si>
  <si>
    <t>Cafe helado caramelo 16oz crema</t>
  </si>
  <si>
    <t>Cafe helado caramelo 16oz</t>
  </si>
  <si>
    <t>Agua Azul 750ml</t>
  </si>
  <si>
    <t>Cafe americano 8 onzas</t>
  </si>
  <si>
    <t>Chai te 12oz</t>
  </si>
  <si>
    <t>Chai te 8oz</t>
  </si>
  <si>
    <t>Cafe americano 12oz</t>
  </si>
  <si>
    <t>Top 10 por facturación (L)</t>
  </si>
  <si>
    <t>Pasteleria</t>
  </si>
  <si>
    <t>Panaderia</t>
  </si>
  <si>
    <t>Reposteria</t>
  </si>
  <si>
    <t>Pastel humedo con frutas</t>
  </si>
  <si>
    <t>Pastel humedo</t>
  </si>
  <si>
    <t>Pastel 3 leches grande</t>
  </si>
  <si>
    <t>Cafeteria</t>
  </si>
  <si>
    <t>Comparativo trimestral 2024–2026 y proyección de cierre 2026</t>
  </si>
  <si>
    <t>Cajas 1, 3 y 4 consolidadas · Excluye anuladas y TECNO · T3-2026 real solo del 1 al 18-jul · Columnas amarillas = proyección · Cafetería abrió en T3-2025</t>
  </si>
  <si>
    <t>Facturación (L)</t>
  </si>
  <si>
    <t>Categoría</t>
  </si>
  <si>
    <t>T1-24</t>
  </si>
  <si>
    <t>T2-24</t>
  </si>
  <si>
    <t>T3-24</t>
  </si>
  <si>
    <t>T4-24</t>
  </si>
  <si>
    <t>T1-25</t>
  </si>
  <si>
    <t>T2-25</t>
  </si>
  <si>
    <t>T3-25</t>
  </si>
  <si>
    <t>T4-25</t>
  </si>
  <si>
    <t>T1-26</t>
  </si>
  <si>
    <t>T2-26</t>
  </si>
  <si>
    <t>T3-26 *</t>
  </si>
  <si>
    <t>T3-26 py</t>
  </si>
  <si>
    <t>T4-26 py</t>
  </si>
  <si>
    <t>Año 2024</t>
  </si>
  <si>
    <t>Año 2025</t>
  </si>
  <si>
    <t>2026 py</t>
  </si>
  <si>
    <t>Var 25/24</t>
  </si>
  <si>
    <t>Var 26py/25</t>
  </si>
  <si>
    <t>—</t>
  </si>
  <si>
    <t>TOTAL</t>
  </si>
  <si>
    <t>Unidades vendidas</t>
  </si>
  <si>
    <t>* T3-2026 real: solo ventas del 1 al 18 de julio de 2026.</t>
  </si>
  <si>
    <t>py = proyección. Método: T3/T4-2026 = T3/T4-2025 × factor de crecimiento de la categoría, donde el factor</t>
  </si>
  <si>
    <t>compara las ventas del 1-ene al 18-jul de 2026 contra el mismo período de 2025 (alineado estacionalmente).</t>
  </si>
  <si>
    <t>Cafetería (sin base 2025 comparable): T3 = ritmo diario del parcial × 92 días; T4 = se asume igual a T4-2025.</t>
  </si>
  <si>
    <t>2026 py = T1 + T2 reales + T3 py + T4 py. Var 26py/25 compara esa proyección contra 2025 real.</t>
  </si>
  <si>
    <t>Cafetería sin variaciones anuales: 2025 solo tiene medio año (abrió en T3-2025).</t>
  </si>
  <si>
    <t>Comparativo trimestral de ventas por año (facturación L)</t>
  </si>
  <si>
    <t>Trimestre</t>
  </si>
  <si>
    <t>T1</t>
  </si>
  <si>
    <t>T2</t>
  </si>
  <si>
    <t>T3</t>
  </si>
  <si>
    <t>T4</t>
  </si>
  <si>
    <t>T3 y T4 de 2026 = proyección (py)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</si>
</sst>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+0.0%;\-0.0%"/>
  </numFmts>
  <fonts count="11" x14ac:knownFonts="1">
    <font>
      <sz val="11"/>
      <color theme="1"/>
      <name val="Calibri"/>
      <family val="2"/>
      <scheme val="minor"/>
    </font>
    <font>
      <b/>
      <sz val="14"/>
      <color rgb="FF1F4E79"/>
      <name val="Calibri"/>
    </font>
    <font>
      <i/>
      <sz val="9"/>
      <color rgb="FF595959"/>
      <name val="Calibri"/>
    </font>
    <font>
      <b/>
      <sz val="11"/>
      <color rgb="FF1F4E79"/>
      <name val="Calibri"/>
    </font>
    <font>
      <b/>
      <sz val="11"/>
      <color rgb="FFFFFFFF"/>
      <name val="Calibri"/>
    </font>
    <font>
      <b/>
      <sz val="12"/>
      <color rgb="FF1F4E79"/>
      <name val="Calibri"/>
    </font>
    <font>
      <b/>
      <sz val="11"/>
      <name val="Calibri"/>
    </font>
    <font>
      <b/>
      <i/>
      <sz val="12"/>
      <color rgb="FF1F4E79"/>
      <name val="Calibri"/>
      <family val="2"/>
    </font>
    <font>
      <b/>
      <i/>
      <sz val="9"/>
      <color rgb="FFFFFFFF"/>
      <name val="Calibri"/>
      <family val="2"/>
    </font>
    <font>
      <b/>
      <sz val="11"/>
      <color rgb="FFFFFFFF"/>
      <name val="Calibri"/>
      <family val="2"/>
      <scheme val="minor"/>
    </font>
    <font>
      <i/>
      <sz val="9"/>
      <color rgb="FF59595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4" fillId="3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4" fontId="0" fillId="0" borderId="1" xfId="0" applyNumberFormat="1" applyBorder="1"/>
    <xf numFmtId="164" fontId="0" fillId="0" borderId="1" xfId="0" applyNumberFormat="1" applyBorder="1"/>
    <xf numFmtId="0" fontId="5" fillId="0" borderId="0" xfId="0" applyFont="1"/>
    <xf numFmtId="3" fontId="0" fillId="4" borderId="1" xfId="0" applyNumberFormat="1" applyFill="1" applyBorder="1"/>
    <xf numFmtId="165" fontId="0" fillId="0" borderId="1" xfId="0" applyNumberFormat="1" applyBorder="1"/>
    <xf numFmtId="0" fontId="6" fillId="2" borderId="0" xfId="0" applyFont="1" applyFill="1"/>
    <xf numFmtId="3" fontId="6" fillId="2" borderId="0" xfId="0" applyNumberFormat="1" applyFont="1" applyFill="1"/>
    <xf numFmtId="3" fontId="6" fillId="4" borderId="0" xfId="0" applyNumberFormat="1" applyFont="1" applyFill="1"/>
    <xf numFmtId="165" fontId="6" fillId="2" borderId="0" xfId="0" applyNumberFormat="1" applyFont="1" applyFill="1"/>
    <xf numFmtId="0" fontId="3" fillId="2" borderId="0" xfId="0" applyFont="1" applyFill="1"/>
    <xf numFmtId="0" fontId="0" fillId="2" borderId="0" xfId="0" applyFill="1"/>
    <xf numFmtId="0" fontId="7" fillId="0" borderId="0" xfId="0" applyFont="1"/>
    <xf numFmtId="0" fontId="8" fillId="5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3" fontId="0" fillId="0" borderId="0" xfId="0" applyNumberFormat="1"/>
    <xf numFmtId="0" fontId="1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Comparativo trimestral de ventas 2024–2026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2024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'Trimestral 2024-2026 + proy'!$A$29:$A$32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'Trimestral 2024-2026 + proy'!$B$29:$B$32</c:f>
              <c:numCache>
                <c:formatCode>#,##0</c:formatCode>
                <c:ptCount val="4"/>
                <c:pt idx="0">
                  <c:v>296807.96000000002</c:v>
                </c:pt>
                <c:pt idx="1">
                  <c:v>344247</c:v>
                </c:pt>
                <c:pt idx="2">
                  <c:v>391807</c:v>
                </c:pt>
                <c:pt idx="3">
                  <c:v>325353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A8-184D-8399-0E0D18149B62}"/>
            </c:ext>
          </c:extLst>
        </c:ser>
        <c:ser>
          <c:idx val="1"/>
          <c:order val="1"/>
          <c:tx>
            <c:v>2025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'Trimestral 2024-2026 + proy'!$A$29:$A$32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'Trimestral 2024-2026 + proy'!$C$29:$C$32</c:f>
              <c:numCache>
                <c:formatCode>#,##0</c:formatCode>
                <c:ptCount val="4"/>
                <c:pt idx="0">
                  <c:v>404516</c:v>
                </c:pt>
                <c:pt idx="1">
                  <c:v>461779</c:v>
                </c:pt>
                <c:pt idx="2">
                  <c:v>592054</c:v>
                </c:pt>
                <c:pt idx="3">
                  <c:v>671217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A8-184D-8399-0E0D18149B62}"/>
            </c:ext>
          </c:extLst>
        </c:ser>
        <c:ser>
          <c:idx val="2"/>
          <c:order val="2"/>
          <c:tx>
            <c:v>2026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'Trimestral 2024-2026 + proy'!$A$29:$A$32</c:f>
              <c:strCache>
                <c:ptCount val="4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</c:strCache>
            </c:strRef>
          </c:cat>
          <c:val>
            <c:numRef>
              <c:f>'Trimestral 2024-2026 + proy'!$D$29:$D$32</c:f>
              <c:numCache>
                <c:formatCode>#,##0</c:formatCode>
                <c:ptCount val="4"/>
                <c:pt idx="0">
                  <c:v>606914</c:v>
                </c:pt>
                <c:pt idx="1">
                  <c:v>681561</c:v>
                </c:pt>
                <c:pt idx="2">
                  <c:v>835882.55888536852</c:v>
                </c:pt>
                <c:pt idx="3">
                  <c:v>927312.73995050741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A8-184D-8399-0E0D18149B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8952767"/>
        <c:axId val="1728946047"/>
      </c:barChart>
      <c:catAx>
        <c:axId val="1728952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N"/>
          </a:p>
        </c:txPr>
        <c:crossAx val="1728946047"/>
        <c:crosses val="autoZero"/>
        <c:auto val="1"/>
        <c:lblAlgn val="ctr"/>
        <c:lblOffset val="100"/>
        <c:noMultiLvlLbl val="0"/>
      </c:catAx>
      <c:valAx>
        <c:axId val="172894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N"/>
          </a:p>
        </c:txPr>
        <c:crossAx val="1728952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26</xdr:row>
      <xdr:rowOff>0</xdr:rowOff>
    </xdr:from>
    <xdr:to>
      <xdr:col>14</xdr:col>
      <xdr:colOff>0</xdr:colOff>
      <xdr:row>46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F65781-CB10-9634-0BAC-206CE5EABE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E360B48-8660-E34E-B696-11A3F7EF7EE1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3c47cb73-7c2e-41a6-bac1-f4a0ef8b9a01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showGridLines="0"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2" width="48" customWidth="1"/>
    <col min="3" max="3" width="12" customWidth="1"/>
    <col min="4" max="4" width="14" customWidth="1"/>
    <col min="5" max="5" width="18" customWidth="1"/>
  </cols>
  <sheetData>
    <row r="1" spans="1:5" ht="19" x14ac:dyDescent="0.25">
      <c r="A1" s="1" t="s">
        <v>0</v>
      </c>
    </row>
    <row r="2" spans="1:5" x14ac:dyDescent="0.2">
      <c r="A2" s="2" t="s">
        <v>1</v>
      </c>
    </row>
    <row r="4" spans="1:5" x14ac:dyDescent="0.2">
      <c r="A4" s="16" t="s">
        <v>2</v>
      </c>
      <c r="B4" s="17"/>
      <c r="C4" s="17"/>
      <c r="D4" s="17"/>
      <c r="E4" s="17"/>
    </row>
    <row r="5" spans="1:5" x14ac:dyDescent="0.2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</row>
    <row r="6" spans="1:5" x14ac:dyDescent="0.2">
      <c r="A6" s="4">
        <v>1</v>
      </c>
      <c r="B6" s="5" t="s">
        <v>8</v>
      </c>
      <c r="C6" s="6">
        <v>558</v>
      </c>
      <c r="D6" s="7">
        <v>81857</v>
      </c>
      <c r="E6" s="8">
        <v>7.2706327085653791E-2</v>
      </c>
    </row>
    <row r="7" spans="1:5" x14ac:dyDescent="0.2">
      <c r="A7" s="4">
        <v>2</v>
      </c>
      <c r="B7" s="5" t="s">
        <v>9</v>
      </c>
      <c r="C7" s="6">
        <v>372</v>
      </c>
      <c r="D7" s="7">
        <v>355364</v>
      </c>
      <c r="E7" s="8">
        <v>0.31563838423673318</v>
      </c>
    </row>
    <row r="8" spans="1:5" x14ac:dyDescent="0.2">
      <c r="A8" s="4">
        <v>3</v>
      </c>
      <c r="B8" s="5" t="s">
        <v>10</v>
      </c>
      <c r="C8" s="6">
        <v>333</v>
      </c>
      <c r="D8" s="7">
        <v>143958</v>
      </c>
      <c r="E8" s="8">
        <v>0.1278651481803211</v>
      </c>
    </row>
    <row r="9" spans="1:5" x14ac:dyDescent="0.2">
      <c r="A9" s="4">
        <v>4</v>
      </c>
      <c r="B9" s="5" t="s">
        <v>11</v>
      </c>
      <c r="C9" s="6">
        <v>321</v>
      </c>
      <c r="D9" s="7">
        <v>234745</v>
      </c>
      <c r="E9" s="8">
        <v>0.20850320377880691</v>
      </c>
    </row>
    <row r="10" spans="1:5" x14ac:dyDescent="0.2">
      <c r="A10" s="4">
        <v>5</v>
      </c>
      <c r="B10" s="5" t="s">
        <v>12</v>
      </c>
      <c r="C10" s="6">
        <v>117</v>
      </c>
      <c r="D10" s="7">
        <v>12725</v>
      </c>
      <c r="E10" s="8">
        <v>1.1302491077915691E-2</v>
      </c>
    </row>
    <row r="11" spans="1:5" x14ac:dyDescent="0.2">
      <c r="A11" s="4">
        <v>6</v>
      </c>
      <c r="B11" s="5" t="s">
        <v>13</v>
      </c>
      <c r="C11" s="6">
        <v>101</v>
      </c>
      <c r="D11" s="7">
        <v>145129</v>
      </c>
      <c r="E11" s="8">
        <v>0.12890524382293331</v>
      </c>
    </row>
    <row r="12" spans="1:5" x14ac:dyDescent="0.2">
      <c r="A12" s="4">
        <v>7</v>
      </c>
      <c r="B12" s="5" t="s">
        <v>14</v>
      </c>
      <c r="C12" s="6">
        <v>62</v>
      </c>
      <c r="D12" s="7">
        <v>148910</v>
      </c>
      <c r="E12" s="8">
        <v>0.13226357142730261</v>
      </c>
    </row>
    <row r="13" spans="1:5" x14ac:dyDescent="0.2">
      <c r="A13" s="4">
        <v>8</v>
      </c>
      <c r="B13" s="5" t="s">
        <v>15</v>
      </c>
      <c r="C13" s="6">
        <v>30</v>
      </c>
      <c r="D13" s="7">
        <v>2190</v>
      </c>
      <c r="E13" s="8">
        <v>1.9451831403249789E-3</v>
      </c>
    </row>
    <row r="14" spans="1:5" x14ac:dyDescent="0.2">
      <c r="A14" s="4">
        <v>9</v>
      </c>
      <c r="B14" s="5" t="s">
        <v>16</v>
      </c>
      <c r="C14" s="6">
        <v>18</v>
      </c>
      <c r="D14" s="7">
        <v>980</v>
      </c>
      <c r="E14" s="8">
        <v>8.7044725000843799E-4</v>
      </c>
    </row>
    <row r="15" spans="1:5" x14ac:dyDescent="0.2">
      <c r="A15" s="16" t="s">
        <v>17</v>
      </c>
      <c r="B15" s="17"/>
      <c r="C15" s="17"/>
      <c r="D15" s="17"/>
      <c r="E15" s="17"/>
    </row>
    <row r="16" spans="1:5" x14ac:dyDescent="0.2">
      <c r="A16" s="3" t="s">
        <v>3</v>
      </c>
      <c r="B16" s="3" t="s">
        <v>4</v>
      </c>
      <c r="C16" s="3" t="s">
        <v>5</v>
      </c>
      <c r="D16" s="3" t="s">
        <v>6</v>
      </c>
      <c r="E16" s="3" t="s">
        <v>7</v>
      </c>
    </row>
    <row r="17" spans="1:5" x14ac:dyDescent="0.2">
      <c r="A17" s="4">
        <v>1</v>
      </c>
      <c r="B17" s="5" t="s">
        <v>18</v>
      </c>
      <c r="C17" s="6">
        <v>8646</v>
      </c>
      <c r="D17" s="7">
        <v>138188</v>
      </c>
      <c r="E17" s="8">
        <v>0.16153459501794329</v>
      </c>
    </row>
    <row r="18" spans="1:5" x14ac:dyDescent="0.2">
      <c r="A18" s="4">
        <v>2</v>
      </c>
      <c r="B18" s="5" t="s">
        <v>19</v>
      </c>
      <c r="C18" s="6">
        <v>6061</v>
      </c>
      <c r="D18" s="7">
        <v>119182</v>
      </c>
      <c r="E18" s="8">
        <v>0.1393175681204484</v>
      </c>
    </row>
    <row r="19" spans="1:5" x14ac:dyDescent="0.2">
      <c r="A19" s="4">
        <v>3</v>
      </c>
      <c r="B19" s="5" t="s">
        <v>20</v>
      </c>
      <c r="C19" s="6">
        <v>2976</v>
      </c>
      <c r="D19" s="7">
        <v>74735</v>
      </c>
      <c r="E19" s="8">
        <v>8.7361333535950991E-2</v>
      </c>
    </row>
    <row r="20" spans="1:5" x14ac:dyDescent="0.2">
      <c r="A20" s="4">
        <v>4</v>
      </c>
      <c r="B20" s="5" t="s">
        <v>21</v>
      </c>
      <c r="C20" s="6">
        <v>2881</v>
      </c>
      <c r="D20" s="7">
        <v>49374</v>
      </c>
      <c r="E20" s="8">
        <v>5.7715641694039532E-2</v>
      </c>
    </row>
    <row r="21" spans="1:5" x14ac:dyDescent="0.2">
      <c r="A21" s="4">
        <v>5</v>
      </c>
      <c r="B21" s="5" t="s">
        <v>22</v>
      </c>
      <c r="C21" s="6">
        <v>2217</v>
      </c>
      <c r="D21" s="7">
        <v>59826</v>
      </c>
      <c r="E21" s="8">
        <v>6.9933486855179028E-2</v>
      </c>
    </row>
    <row r="22" spans="1:5" x14ac:dyDescent="0.2">
      <c r="A22" s="4">
        <v>6</v>
      </c>
      <c r="B22" s="5" t="s">
        <v>23</v>
      </c>
      <c r="C22" s="6">
        <v>2111</v>
      </c>
      <c r="D22" s="7">
        <v>36068</v>
      </c>
      <c r="E22" s="8">
        <v>4.2161618759278527E-2</v>
      </c>
    </row>
    <row r="23" spans="1:5" x14ac:dyDescent="0.2">
      <c r="A23" s="4">
        <v>7</v>
      </c>
      <c r="B23" s="5" t="s">
        <v>24</v>
      </c>
      <c r="C23" s="6">
        <v>2106</v>
      </c>
      <c r="D23" s="7">
        <v>35830</v>
      </c>
      <c r="E23" s="8">
        <v>4.1883409120132789E-2</v>
      </c>
    </row>
    <row r="24" spans="1:5" x14ac:dyDescent="0.2">
      <c r="A24" s="4">
        <v>8</v>
      </c>
      <c r="B24" s="5" t="s">
        <v>25</v>
      </c>
      <c r="C24" s="6">
        <v>1729</v>
      </c>
      <c r="D24" s="7">
        <v>27995</v>
      </c>
      <c r="E24" s="8">
        <v>3.2724701041532717E-2</v>
      </c>
    </row>
    <row r="25" spans="1:5" x14ac:dyDescent="0.2">
      <c r="A25" s="4">
        <v>9</v>
      </c>
      <c r="B25" s="5" t="s">
        <v>26</v>
      </c>
      <c r="C25" s="6">
        <v>1057</v>
      </c>
      <c r="D25" s="7">
        <v>31672</v>
      </c>
      <c r="E25" s="8">
        <v>3.7022923071527929E-2</v>
      </c>
    </row>
    <row r="26" spans="1:5" x14ac:dyDescent="0.2">
      <c r="A26" s="4">
        <v>10</v>
      </c>
      <c r="B26" s="5" t="s">
        <v>27</v>
      </c>
      <c r="C26" s="6">
        <v>1037</v>
      </c>
      <c r="D26" s="7">
        <v>37720</v>
      </c>
      <c r="E26" s="8">
        <v>4.4092720960407727E-2</v>
      </c>
    </row>
    <row r="27" spans="1:5" x14ac:dyDescent="0.2">
      <c r="A27" s="16" t="s">
        <v>28</v>
      </c>
      <c r="B27" s="17"/>
      <c r="C27" s="17"/>
      <c r="D27" s="17"/>
      <c r="E27" s="17"/>
    </row>
    <row r="28" spans="1:5" x14ac:dyDescent="0.2">
      <c r="A28" s="3" t="s">
        <v>3</v>
      </c>
      <c r="B28" s="3" t="s">
        <v>4</v>
      </c>
      <c r="C28" s="3" t="s">
        <v>5</v>
      </c>
      <c r="D28" s="3" t="s">
        <v>6</v>
      </c>
      <c r="E28" s="3" t="s">
        <v>7</v>
      </c>
    </row>
    <row r="29" spans="1:5" x14ac:dyDescent="0.2">
      <c r="A29" s="4">
        <v>1</v>
      </c>
      <c r="B29" s="5" t="s">
        <v>29</v>
      </c>
      <c r="C29" s="6">
        <v>1792</v>
      </c>
      <c r="D29" s="7">
        <v>102884</v>
      </c>
      <c r="E29" s="8">
        <v>0.20316103756595369</v>
      </c>
    </row>
    <row r="30" spans="1:5" x14ac:dyDescent="0.2">
      <c r="A30" s="4">
        <v>2</v>
      </c>
      <c r="B30" s="5" t="s">
        <v>30</v>
      </c>
      <c r="C30" s="6">
        <v>1027</v>
      </c>
      <c r="D30" s="7">
        <v>26284</v>
      </c>
      <c r="E30" s="8">
        <v>5.1901993617895173E-2</v>
      </c>
    </row>
    <row r="31" spans="1:5" x14ac:dyDescent="0.2">
      <c r="A31" s="4">
        <v>3</v>
      </c>
      <c r="B31" s="5" t="s">
        <v>31</v>
      </c>
      <c r="C31" s="6">
        <v>595</v>
      </c>
      <c r="D31" s="7">
        <v>19946</v>
      </c>
      <c r="E31" s="8">
        <v>3.9386591260939623E-2</v>
      </c>
    </row>
    <row r="32" spans="1:5" x14ac:dyDescent="0.2">
      <c r="A32" s="4">
        <v>4</v>
      </c>
      <c r="B32" s="5" t="s">
        <v>32</v>
      </c>
      <c r="C32" s="6">
        <v>533</v>
      </c>
      <c r="D32" s="7">
        <v>34945</v>
      </c>
      <c r="E32" s="8">
        <v>6.9004533821996145E-2</v>
      </c>
    </row>
    <row r="33" spans="1:5" x14ac:dyDescent="0.2">
      <c r="A33" s="4">
        <v>5</v>
      </c>
      <c r="B33" s="5" t="s">
        <v>33</v>
      </c>
      <c r="C33" s="6">
        <v>364</v>
      </c>
      <c r="D33" s="7">
        <v>12755</v>
      </c>
      <c r="E33" s="8">
        <v>2.51868029446147E-2</v>
      </c>
    </row>
    <row r="34" spans="1:5" x14ac:dyDescent="0.2">
      <c r="A34" s="4">
        <v>6</v>
      </c>
      <c r="B34" s="5" t="s">
        <v>34</v>
      </c>
      <c r="C34" s="6">
        <v>245</v>
      </c>
      <c r="D34" s="7">
        <v>19010</v>
      </c>
      <c r="E34" s="8">
        <v>3.753830842627405E-2</v>
      </c>
    </row>
    <row r="35" spans="1:5" x14ac:dyDescent="0.2">
      <c r="A35" s="4">
        <v>7</v>
      </c>
      <c r="B35" s="5" t="s">
        <v>35</v>
      </c>
      <c r="C35" s="6">
        <v>241</v>
      </c>
      <c r="D35" s="7">
        <v>11266</v>
      </c>
      <c r="E35" s="8">
        <v>2.2246532495023851E-2</v>
      </c>
    </row>
    <row r="36" spans="1:5" x14ac:dyDescent="0.2">
      <c r="A36" s="4">
        <v>8</v>
      </c>
      <c r="B36" s="5" t="s">
        <v>36</v>
      </c>
      <c r="C36" s="6">
        <v>205</v>
      </c>
      <c r="D36" s="7">
        <v>14975</v>
      </c>
      <c r="E36" s="8">
        <v>2.957055069350099E-2</v>
      </c>
    </row>
    <row r="37" spans="1:5" x14ac:dyDescent="0.2">
      <c r="A37" s="4">
        <v>9</v>
      </c>
      <c r="B37" s="5" t="s">
        <v>37</v>
      </c>
      <c r="C37" s="6">
        <v>166</v>
      </c>
      <c r="D37" s="7">
        <v>14660</v>
      </c>
      <c r="E37" s="8">
        <v>2.8948532431834699E-2</v>
      </c>
    </row>
    <row r="38" spans="1:5" x14ac:dyDescent="0.2">
      <c r="A38" s="4">
        <v>10</v>
      </c>
      <c r="B38" s="5" t="s">
        <v>38</v>
      </c>
      <c r="C38" s="6">
        <v>135</v>
      </c>
      <c r="D38" s="7">
        <v>64480</v>
      </c>
      <c r="E38" s="8">
        <v>0.12732615083251711</v>
      </c>
    </row>
    <row r="39" spans="1:5" x14ac:dyDescent="0.2">
      <c r="A39" s="16" t="s">
        <v>39</v>
      </c>
      <c r="B39" s="17"/>
      <c r="C39" s="17"/>
      <c r="D39" s="17"/>
      <c r="E39" s="17"/>
    </row>
    <row r="40" spans="1:5" x14ac:dyDescent="0.2">
      <c r="A40" s="3" t="s">
        <v>3</v>
      </c>
      <c r="B40" s="3" t="s">
        <v>4</v>
      </c>
      <c r="C40" s="3" t="s">
        <v>5</v>
      </c>
      <c r="D40" s="3" t="s">
        <v>6</v>
      </c>
      <c r="E40" s="3" t="s">
        <v>7</v>
      </c>
    </row>
    <row r="41" spans="1:5" x14ac:dyDescent="0.2">
      <c r="A41" s="4">
        <v>1</v>
      </c>
      <c r="B41" s="5" t="s">
        <v>40</v>
      </c>
      <c r="C41" s="6">
        <v>642</v>
      </c>
      <c r="D41" s="7">
        <v>29029</v>
      </c>
      <c r="E41" s="8">
        <v>0.33679069065933431</v>
      </c>
    </row>
    <row r="42" spans="1:5" x14ac:dyDescent="0.2">
      <c r="A42" s="4">
        <v>2</v>
      </c>
      <c r="B42" s="5" t="s">
        <v>41</v>
      </c>
      <c r="C42" s="6">
        <v>301</v>
      </c>
      <c r="D42" s="7">
        <v>18425</v>
      </c>
      <c r="E42" s="8">
        <v>0.2137644588307635</v>
      </c>
    </row>
    <row r="43" spans="1:5" x14ac:dyDescent="0.2">
      <c r="A43" s="4">
        <v>3</v>
      </c>
      <c r="B43" s="5" t="s">
        <v>42</v>
      </c>
      <c r="C43" s="6">
        <v>298</v>
      </c>
      <c r="D43" s="7">
        <v>7029</v>
      </c>
      <c r="E43" s="8">
        <v>8.1549545786780836E-2</v>
      </c>
    </row>
    <row r="44" spans="1:5" x14ac:dyDescent="0.2">
      <c r="A44" s="4">
        <v>4</v>
      </c>
      <c r="B44" s="5" t="s">
        <v>43</v>
      </c>
      <c r="C44" s="6">
        <v>253</v>
      </c>
      <c r="D44" s="7">
        <v>20215</v>
      </c>
      <c r="E44" s="8">
        <v>0.2345318065272122</v>
      </c>
    </row>
    <row r="45" spans="1:5" x14ac:dyDescent="0.2">
      <c r="A45" s="4">
        <v>5</v>
      </c>
      <c r="B45" s="5" t="s">
        <v>44</v>
      </c>
      <c r="C45" s="6">
        <v>62</v>
      </c>
      <c r="D45" s="7">
        <v>4385</v>
      </c>
      <c r="E45" s="8">
        <v>5.0874200921188488E-2</v>
      </c>
    </row>
    <row r="46" spans="1:5" x14ac:dyDescent="0.2">
      <c r="A46" s="4">
        <v>6</v>
      </c>
      <c r="B46" s="5" t="s">
        <v>45</v>
      </c>
      <c r="C46" s="6">
        <v>55</v>
      </c>
      <c r="D46" s="7">
        <v>727</v>
      </c>
      <c r="E46" s="8">
        <v>8.4345596510157442E-3</v>
      </c>
    </row>
    <row r="47" spans="1:5" x14ac:dyDescent="0.2">
      <c r="A47" s="4">
        <v>7</v>
      </c>
      <c r="B47" s="5" t="s">
        <v>46</v>
      </c>
      <c r="C47" s="6">
        <v>37</v>
      </c>
      <c r="D47" s="7">
        <v>1110</v>
      </c>
      <c r="E47" s="8">
        <v>1.287807594584247E-2</v>
      </c>
    </row>
    <row r="48" spans="1:5" x14ac:dyDescent="0.2">
      <c r="A48" s="4">
        <v>8</v>
      </c>
      <c r="B48" s="5" t="s">
        <v>47</v>
      </c>
      <c r="C48" s="6">
        <v>34</v>
      </c>
      <c r="D48" s="7">
        <v>2360</v>
      </c>
      <c r="E48" s="8">
        <v>2.73804137226921E-2</v>
      </c>
    </row>
    <row r="49" spans="1:5" x14ac:dyDescent="0.2">
      <c r="A49" s="4">
        <v>9</v>
      </c>
      <c r="B49" s="5" t="s">
        <v>48</v>
      </c>
      <c r="C49" s="6">
        <v>30</v>
      </c>
      <c r="D49" s="7">
        <v>1760</v>
      </c>
      <c r="E49" s="8">
        <v>2.0419291589804281E-2</v>
      </c>
    </row>
    <row r="50" spans="1:5" x14ac:dyDescent="0.2">
      <c r="A50" s="4">
        <v>10</v>
      </c>
      <c r="B50" s="5" t="s">
        <v>49</v>
      </c>
      <c r="C50" s="6">
        <v>16</v>
      </c>
      <c r="D50" s="7">
        <v>693</v>
      </c>
      <c r="E50" s="8">
        <v>8.040096063485434E-3</v>
      </c>
    </row>
  </sheetData>
  <mergeCells count="4">
    <mergeCell ref="A39:E39"/>
    <mergeCell ref="A15:E15"/>
    <mergeCell ref="A4:E4"/>
    <mergeCell ref="A27:E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"/>
  <sheetViews>
    <sheetView showGridLines="0" workbookViewId="0">
      <pane ySplit="3" topLeftCell="A11" activePane="bottomLeft" state="frozen"/>
      <selection pane="bottomLeft" activeCell="G43" sqref="G43"/>
    </sheetView>
  </sheetViews>
  <sheetFormatPr baseColWidth="10" defaultColWidth="8.83203125" defaultRowHeight="15" x14ac:dyDescent="0.2"/>
  <cols>
    <col min="1" max="1" width="6" customWidth="1"/>
    <col min="2" max="2" width="48" customWidth="1"/>
    <col min="3" max="3" width="12" customWidth="1"/>
    <col min="4" max="4" width="14" customWidth="1"/>
    <col min="5" max="5" width="18" customWidth="1"/>
  </cols>
  <sheetData>
    <row r="1" spans="1:5" ht="19" x14ac:dyDescent="0.25">
      <c r="A1" s="1" t="s">
        <v>50</v>
      </c>
    </row>
    <row r="2" spans="1:5" x14ac:dyDescent="0.2">
      <c r="A2" s="2" t="s">
        <v>1</v>
      </c>
    </row>
    <row r="4" spans="1:5" x14ac:dyDescent="0.2">
      <c r="A4" s="16" t="s">
        <v>51</v>
      </c>
      <c r="B4" s="17"/>
      <c r="C4" s="17"/>
      <c r="D4" s="17"/>
      <c r="E4" s="17"/>
    </row>
    <row r="5" spans="1:5" x14ac:dyDescent="0.2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</row>
    <row r="6" spans="1:5" x14ac:dyDescent="0.2">
      <c r="A6" s="4">
        <v>1</v>
      </c>
      <c r="B6" s="5" t="s">
        <v>9</v>
      </c>
      <c r="C6" s="6">
        <v>372</v>
      </c>
      <c r="D6" s="7">
        <v>355364</v>
      </c>
      <c r="E6" s="8">
        <v>0.316</v>
      </c>
    </row>
    <row r="7" spans="1:5" x14ac:dyDescent="0.2">
      <c r="A7" s="4">
        <v>2</v>
      </c>
      <c r="B7" s="5" t="s">
        <v>11</v>
      </c>
      <c r="C7" s="6">
        <v>321</v>
      </c>
      <c r="D7" s="7">
        <v>234745</v>
      </c>
      <c r="E7" s="8">
        <v>0.20899999999999999</v>
      </c>
    </row>
    <row r="8" spans="1:5" x14ac:dyDescent="0.2">
      <c r="A8" s="4">
        <v>3</v>
      </c>
      <c r="B8" s="5" t="s">
        <v>14</v>
      </c>
      <c r="C8" s="6">
        <v>62</v>
      </c>
      <c r="D8" s="7">
        <v>148910</v>
      </c>
      <c r="E8" s="8">
        <v>0.13200000000000001</v>
      </c>
    </row>
    <row r="9" spans="1:5" x14ac:dyDescent="0.2">
      <c r="A9" s="4">
        <v>4</v>
      </c>
      <c r="B9" s="5" t="s">
        <v>13</v>
      </c>
      <c r="C9" s="6">
        <v>101</v>
      </c>
      <c r="D9" s="7">
        <v>145129</v>
      </c>
      <c r="E9" s="8">
        <v>0.129</v>
      </c>
    </row>
    <row r="10" spans="1:5" x14ac:dyDescent="0.2">
      <c r="A10" s="4">
        <v>5</v>
      </c>
      <c r="B10" s="5" t="s">
        <v>10</v>
      </c>
      <c r="C10" s="6">
        <v>333</v>
      </c>
      <c r="D10" s="7">
        <v>143958</v>
      </c>
      <c r="E10" s="8">
        <v>0.128</v>
      </c>
    </row>
    <row r="11" spans="1:5" x14ac:dyDescent="0.2">
      <c r="A11" s="4">
        <v>6</v>
      </c>
      <c r="B11" s="5" t="s">
        <v>8</v>
      </c>
      <c r="C11" s="6">
        <v>558</v>
      </c>
      <c r="D11" s="7">
        <v>81857</v>
      </c>
      <c r="E11" s="8">
        <v>7.2999999999999995E-2</v>
      </c>
    </row>
    <row r="12" spans="1:5" x14ac:dyDescent="0.2">
      <c r="A12" s="4">
        <v>7</v>
      </c>
      <c r="B12" s="5" t="s">
        <v>12</v>
      </c>
      <c r="C12" s="6">
        <v>117</v>
      </c>
      <c r="D12" s="7">
        <v>12725</v>
      </c>
      <c r="E12" s="8">
        <v>1.0999999999999999E-2</v>
      </c>
    </row>
    <row r="13" spans="1:5" x14ac:dyDescent="0.2">
      <c r="A13" s="4">
        <v>8</v>
      </c>
      <c r="B13" s="5" t="s">
        <v>15</v>
      </c>
      <c r="C13" s="6">
        <v>30</v>
      </c>
      <c r="D13" s="7">
        <v>2190</v>
      </c>
      <c r="E13" s="8">
        <v>2E-3</v>
      </c>
    </row>
    <row r="14" spans="1:5" x14ac:dyDescent="0.2">
      <c r="A14" s="4">
        <v>9</v>
      </c>
      <c r="B14" s="5" t="s">
        <v>16</v>
      </c>
      <c r="C14" s="6">
        <v>18</v>
      </c>
      <c r="D14" s="7">
        <v>980</v>
      </c>
      <c r="E14" s="8">
        <v>1E-3</v>
      </c>
    </row>
    <row r="15" spans="1:5" x14ac:dyDescent="0.2">
      <c r="A15" s="16" t="s">
        <v>52</v>
      </c>
      <c r="B15" s="17"/>
      <c r="C15" s="17"/>
      <c r="D15" s="17"/>
      <c r="E15" s="17"/>
    </row>
    <row r="16" spans="1:5" x14ac:dyDescent="0.2">
      <c r="A16" s="3" t="s">
        <v>3</v>
      </c>
      <c r="B16" s="3" t="s">
        <v>4</v>
      </c>
      <c r="C16" s="3" t="s">
        <v>5</v>
      </c>
      <c r="D16" s="3" t="s">
        <v>6</v>
      </c>
      <c r="E16" s="3" t="s">
        <v>7</v>
      </c>
    </row>
    <row r="17" spans="1:5" x14ac:dyDescent="0.2">
      <c r="A17" s="4">
        <v>1</v>
      </c>
      <c r="B17" s="5" t="s">
        <v>18</v>
      </c>
      <c r="C17" s="6">
        <v>8646</v>
      </c>
      <c r="D17" s="7">
        <v>138188</v>
      </c>
      <c r="E17" s="8">
        <v>0.16200000000000001</v>
      </c>
    </row>
    <row r="18" spans="1:5" x14ac:dyDescent="0.2">
      <c r="A18" s="4">
        <v>2</v>
      </c>
      <c r="B18" s="5" t="s">
        <v>19</v>
      </c>
      <c r="C18" s="6">
        <v>6061</v>
      </c>
      <c r="D18" s="7">
        <v>119182</v>
      </c>
      <c r="E18" s="8">
        <v>0.13900000000000001</v>
      </c>
    </row>
    <row r="19" spans="1:5" x14ac:dyDescent="0.2">
      <c r="A19" s="4">
        <v>3</v>
      </c>
      <c r="B19" s="5" t="s">
        <v>20</v>
      </c>
      <c r="C19" s="6">
        <v>2976</v>
      </c>
      <c r="D19" s="7">
        <v>74735</v>
      </c>
      <c r="E19" s="8">
        <v>8.6999999999999994E-2</v>
      </c>
    </row>
    <row r="20" spans="1:5" x14ac:dyDescent="0.2">
      <c r="A20" s="4">
        <v>4</v>
      </c>
      <c r="B20" s="5" t="s">
        <v>22</v>
      </c>
      <c r="C20" s="6">
        <v>2217</v>
      </c>
      <c r="D20" s="7">
        <v>59826</v>
      </c>
      <c r="E20" s="8">
        <v>7.0000000000000007E-2</v>
      </c>
    </row>
    <row r="21" spans="1:5" x14ac:dyDescent="0.2">
      <c r="A21" s="4">
        <v>5</v>
      </c>
      <c r="B21" s="5" t="s">
        <v>21</v>
      </c>
      <c r="C21" s="6">
        <v>2881</v>
      </c>
      <c r="D21" s="7">
        <v>49374</v>
      </c>
      <c r="E21" s="8">
        <v>5.8000000000000003E-2</v>
      </c>
    </row>
    <row r="22" spans="1:5" x14ac:dyDescent="0.2">
      <c r="A22" s="4">
        <v>6</v>
      </c>
      <c r="B22" s="5" t="s">
        <v>27</v>
      </c>
      <c r="C22" s="6">
        <v>1037</v>
      </c>
      <c r="D22" s="7">
        <v>37720</v>
      </c>
      <c r="E22" s="8">
        <v>4.3999999999999997E-2</v>
      </c>
    </row>
    <row r="23" spans="1:5" x14ac:dyDescent="0.2">
      <c r="A23" s="4">
        <v>7</v>
      </c>
      <c r="B23" s="5" t="s">
        <v>23</v>
      </c>
      <c r="C23" s="6">
        <v>2111</v>
      </c>
      <c r="D23" s="7">
        <v>36068</v>
      </c>
      <c r="E23" s="8">
        <v>4.2000000000000003E-2</v>
      </c>
    </row>
    <row r="24" spans="1:5" x14ac:dyDescent="0.2">
      <c r="A24" s="4">
        <v>8</v>
      </c>
      <c r="B24" s="5" t="s">
        <v>24</v>
      </c>
      <c r="C24" s="6">
        <v>2106</v>
      </c>
      <c r="D24" s="7">
        <v>35830</v>
      </c>
      <c r="E24" s="8">
        <v>4.2000000000000003E-2</v>
      </c>
    </row>
    <row r="25" spans="1:5" x14ac:dyDescent="0.2">
      <c r="A25" s="4">
        <v>9</v>
      </c>
      <c r="B25" s="5" t="s">
        <v>26</v>
      </c>
      <c r="C25" s="6">
        <v>1057</v>
      </c>
      <c r="D25" s="7">
        <v>31672</v>
      </c>
      <c r="E25" s="8">
        <v>3.7000000000000012E-2</v>
      </c>
    </row>
    <row r="26" spans="1:5" x14ac:dyDescent="0.2">
      <c r="A26" s="4">
        <v>10</v>
      </c>
      <c r="B26" s="5" t="s">
        <v>25</v>
      </c>
      <c r="C26" s="6">
        <v>1729</v>
      </c>
      <c r="D26" s="7">
        <v>27995</v>
      </c>
      <c r="E26" s="8">
        <v>3.3000000000000002E-2</v>
      </c>
    </row>
    <row r="27" spans="1:5" x14ac:dyDescent="0.2">
      <c r="A27" s="16" t="s">
        <v>53</v>
      </c>
      <c r="B27" s="17"/>
      <c r="C27" s="17"/>
      <c r="D27" s="17"/>
      <c r="E27" s="17"/>
    </row>
    <row r="28" spans="1:5" x14ac:dyDescent="0.2">
      <c r="A28" s="3" t="s">
        <v>3</v>
      </c>
      <c r="B28" s="3" t="s">
        <v>4</v>
      </c>
      <c r="C28" s="3" t="s">
        <v>5</v>
      </c>
      <c r="D28" s="3" t="s">
        <v>6</v>
      </c>
      <c r="E28" s="3" t="s">
        <v>7</v>
      </c>
    </row>
    <row r="29" spans="1:5" x14ac:dyDescent="0.2">
      <c r="A29" s="4">
        <v>1</v>
      </c>
      <c r="B29" s="5" t="s">
        <v>29</v>
      </c>
      <c r="C29" s="6">
        <v>1792</v>
      </c>
      <c r="D29" s="7">
        <v>102884</v>
      </c>
      <c r="E29" s="8">
        <v>0.20300000000000001</v>
      </c>
    </row>
    <row r="30" spans="1:5" x14ac:dyDescent="0.2">
      <c r="A30" s="4">
        <v>2</v>
      </c>
      <c r="B30" s="5" t="s">
        <v>54</v>
      </c>
      <c r="C30" s="6">
        <v>132</v>
      </c>
      <c r="D30" s="7">
        <v>80261</v>
      </c>
      <c r="E30" s="8">
        <v>0.158</v>
      </c>
    </row>
    <row r="31" spans="1:5" x14ac:dyDescent="0.2">
      <c r="A31" s="4">
        <v>3</v>
      </c>
      <c r="B31" s="5" t="s">
        <v>38</v>
      </c>
      <c r="C31" s="6">
        <v>135</v>
      </c>
      <c r="D31" s="7">
        <v>64480</v>
      </c>
      <c r="E31" s="8">
        <v>0.127</v>
      </c>
    </row>
    <row r="32" spans="1:5" x14ac:dyDescent="0.2">
      <c r="A32" s="4">
        <v>4</v>
      </c>
      <c r="B32" s="5" t="s">
        <v>55</v>
      </c>
      <c r="C32" s="6">
        <v>77</v>
      </c>
      <c r="D32" s="7">
        <v>42125</v>
      </c>
      <c r="E32" s="8">
        <v>8.3000000000000004E-2</v>
      </c>
    </row>
    <row r="33" spans="1:5" x14ac:dyDescent="0.2">
      <c r="A33" s="4">
        <v>5</v>
      </c>
      <c r="B33" s="5" t="s">
        <v>56</v>
      </c>
      <c r="C33" s="6">
        <v>41</v>
      </c>
      <c r="D33" s="7">
        <v>37620</v>
      </c>
      <c r="E33" s="8">
        <v>7.400000000000001E-2</v>
      </c>
    </row>
    <row r="34" spans="1:5" x14ac:dyDescent="0.2">
      <c r="A34" s="4">
        <v>6</v>
      </c>
      <c r="B34" s="5" t="s">
        <v>32</v>
      </c>
      <c r="C34" s="6">
        <v>533</v>
      </c>
      <c r="D34" s="7">
        <v>34945</v>
      </c>
      <c r="E34" s="8">
        <v>6.9000000000000006E-2</v>
      </c>
    </row>
    <row r="35" spans="1:5" x14ac:dyDescent="0.2">
      <c r="A35" s="4">
        <v>7</v>
      </c>
      <c r="B35" s="5" t="s">
        <v>30</v>
      </c>
      <c r="C35" s="6">
        <v>1027</v>
      </c>
      <c r="D35" s="7">
        <v>26284</v>
      </c>
      <c r="E35" s="8">
        <v>5.1999999999999998E-2</v>
      </c>
    </row>
    <row r="36" spans="1:5" x14ac:dyDescent="0.2">
      <c r="A36" s="4">
        <v>8</v>
      </c>
      <c r="B36" s="5" t="s">
        <v>31</v>
      </c>
      <c r="C36" s="6">
        <v>595</v>
      </c>
      <c r="D36" s="7">
        <v>19946</v>
      </c>
      <c r="E36" s="8">
        <v>3.9E-2</v>
      </c>
    </row>
    <row r="37" spans="1:5" x14ac:dyDescent="0.2">
      <c r="A37" s="4">
        <v>9</v>
      </c>
      <c r="B37" s="5" t="s">
        <v>34</v>
      </c>
      <c r="C37" s="6">
        <v>245</v>
      </c>
      <c r="D37" s="7">
        <v>19010</v>
      </c>
      <c r="E37" s="8">
        <v>3.7999999999999999E-2</v>
      </c>
    </row>
    <row r="38" spans="1:5" x14ac:dyDescent="0.2">
      <c r="A38" s="4">
        <v>10</v>
      </c>
      <c r="B38" s="5" t="s">
        <v>36</v>
      </c>
      <c r="C38" s="6">
        <v>205</v>
      </c>
      <c r="D38" s="7">
        <v>14975</v>
      </c>
      <c r="E38" s="8">
        <v>0.03</v>
      </c>
    </row>
    <row r="39" spans="1:5" x14ac:dyDescent="0.2">
      <c r="A39" s="16" t="s">
        <v>57</v>
      </c>
      <c r="B39" s="17"/>
      <c r="C39" s="17"/>
      <c r="D39" s="17"/>
      <c r="E39" s="17"/>
    </row>
    <row r="40" spans="1:5" x14ac:dyDescent="0.2">
      <c r="A40" s="3" t="s">
        <v>3</v>
      </c>
      <c r="B40" s="3" t="s">
        <v>4</v>
      </c>
      <c r="C40" s="3" t="s">
        <v>5</v>
      </c>
      <c r="D40" s="3" t="s">
        <v>6</v>
      </c>
      <c r="E40" s="3" t="s">
        <v>7</v>
      </c>
    </row>
    <row r="41" spans="1:5" x14ac:dyDescent="0.2">
      <c r="A41" s="4">
        <v>1</v>
      </c>
      <c r="B41" s="5" t="s">
        <v>40</v>
      </c>
      <c r="C41" s="6">
        <v>642</v>
      </c>
      <c r="D41" s="7">
        <v>29029</v>
      </c>
      <c r="E41" s="8">
        <v>0.33700000000000002</v>
      </c>
    </row>
    <row r="42" spans="1:5" x14ac:dyDescent="0.2">
      <c r="A42" s="4">
        <v>2</v>
      </c>
      <c r="B42" s="5" t="s">
        <v>43</v>
      </c>
      <c r="C42" s="6">
        <v>253</v>
      </c>
      <c r="D42" s="7">
        <v>20215</v>
      </c>
      <c r="E42" s="8">
        <v>0.23499999999999999</v>
      </c>
    </row>
    <row r="43" spans="1:5" x14ac:dyDescent="0.2">
      <c r="A43" s="4">
        <v>3</v>
      </c>
      <c r="B43" s="5" t="s">
        <v>41</v>
      </c>
      <c r="C43" s="6">
        <v>301</v>
      </c>
      <c r="D43" s="7">
        <v>18425</v>
      </c>
      <c r="E43" s="8">
        <v>0.214</v>
      </c>
    </row>
    <row r="44" spans="1:5" x14ac:dyDescent="0.2">
      <c r="A44" s="4">
        <v>4</v>
      </c>
      <c r="B44" s="5" t="s">
        <v>42</v>
      </c>
      <c r="C44" s="6">
        <v>298</v>
      </c>
      <c r="D44" s="7">
        <v>7029</v>
      </c>
      <c r="E44" s="8">
        <v>8.199999999999999E-2</v>
      </c>
    </row>
    <row r="45" spans="1:5" x14ac:dyDescent="0.2">
      <c r="A45" s="4">
        <v>5</v>
      </c>
      <c r="B45" s="5" t="s">
        <v>44</v>
      </c>
      <c r="C45" s="6">
        <v>62</v>
      </c>
      <c r="D45" s="7">
        <v>4385</v>
      </c>
      <c r="E45" s="8">
        <v>5.0999999999999997E-2</v>
      </c>
    </row>
    <row r="46" spans="1:5" x14ac:dyDescent="0.2">
      <c r="A46" s="4">
        <v>6</v>
      </c>
      <c r="B46" s="5" t="s">
        <v>47</v>
      </c>
      <c r="C46" s="6">
        <v>34</v>
      </c>
      <c r="D46" s="7">
        <v>2360</v>
      </c>
      <c r="E46" s="8">
        <v>2.7E-2</v>
      </c>
    </row>
    <row r="47" spans="1:5" x14ac:dyDescent="0.2">
      <c r="A47" s="4">
        <v>7</v>
      </c>
      <c r="B47" s="5" t="s">
        <v>48</v>
      </c>
      <c r="C47" s="6">
        <v>30</v>
      </c>
      <c r="D47" s="7">
        <v>1760</v>
      </c>
      <c r="E47" s="8">
        <v>0.02</v>
      </c>
    </row>
    <row r="48" spans="1:5" x14ac:dyDescent="0.2">
      <c r="A48" s="4">
        <v>8</v>
      </c>
      <c r="B48" s="5" t="s">
        <v>46</v>
      </c>
      <c r="C48" s="6">
        <v>37</v>
      </c>
      <c r="D48" s="7">
        <v>1110</v>
      </c>
      <c r="E48" s="8">
        <v>1.2999999999999999E-2</v>
      </c>
    </row>
    <row r="49" spans="1:5" x14ac:dyDescent="0.2">
      <c r="A49" s="4">
        <v>9</v>
      </c>
      <c r="B49" s="5" t="s">
        <v>45</v>
      </c>
      <c r="C49" s="6">
        <v>55</v>
      </c>
      <c r="D49" s="7">
        <v>727</v>
      </c>
      <c r="E49" s="8">
        <v>8.0000000000000002E-3</v>
      </c>
    </row>
    <row r="50" spans="1:5" x14ac:dyDescent="0.2">
      <c r="A50" s="4">
        <v>10</v>
      </c>
      <c r="B50" s="5" t="s">
        <v>49</v>
      </c>
      <c r="C50" s="6">
        <v>16</v>
      </c>
      <c r="D50" s="7">
        <v>693</v>
      </c>
      <c r="E50" s="8">
        <v>8.0000000000000002E-3</v>
      </c>
    </row>
  </sheetData>
  <mergeCells count="4">
    <mergeCell ref="A39:E39"/>
    <mergeCell ref="A15:E15"/>
    <mergeCell ref="A4:E4"/>
    <mergeCell ref="A27:E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3"/>
  <sheetViews>
    <sheetView showGridLines="0" tabSelected="1" zoomScale="125" workbookViewId="0">
      <pane xSplit="1" ySplit="5" topLeftCell="B6" activePane="bottomRight" state="frozen"/>
      <selection pane="topRight"/>
      <selection pane="bottomLeft"/>
      <selection pane="bottomRight" activeCell="H24" sqref="H24"/>
    </sheetView>
  </sheetViews>
  <sheetFormatPr baseColWidth="10" defaultColWidth="8.83203125" defaultRowHeight="15" x14ac:dyDescent="0.2"/>
  <cols>
    <col min="1" max="1" width="13" customWidth="1"/>
    <col min="2" max="14" width="10" customWidth="1"/>
    <col min="15" max="19" width="11" customWidth="1"/>
  </cols>
  <sheetData>
    <row r="1" spans="1:19" ht="19" x14ac:dyDescent="0.25">
      <c r="A1" s="1" t="s">
        <v>58</v>
      </c>
    </row>
    <row r="2" spans="1:19" x14ac:dyDescent="0.2">
      <c r="A2" s="2" t="s">
        <v>59</v>
      </c>
    </row>
    <row r="4" spans="1:19" ht="16" x14ac:dyDescent="0.2">
      <c r="A4" s="9" t="s">
        <v>60</v>
      </c>
    </row>
    <row r="5" spans="1:19" x14ac:dyDescent="0.2">
      <c r="A5" s="3" t="s">
        <v>61</v>
      </c>
      <c r="B5" s="3" t="s">
        <v>62</v>
      </c>
      <c r="C5" s="3" t="s">
        <v>63</v>
      </c>
      <c r="D5" s="3" t="s">
        <v>64</v>
      </c>
      <c r="E5" s="3" t="s">
        <v>65</v>
      </c>
      <c r="F5" s="3" t="s">
        <v>66</v>
      </c>
      <c r="G5" s="3" t="s">
        <v>67</v>
      </c>
      <c r="H5" s="3" t="s">
        <v>68</v>
      </c>
      <c r="I5" s="3" t="s">
        <v>69</v>
      </c>
      <c r="J5" s="3" t="s">
        <v>70</v>
      </c>
      <c r="K5" s="3" t="s">
        <v>71</v>
      </c>
      <c r="L5" s="3" t="s">
        <v>72</v>
      </c>
      <c r="M5" s="3" t="s">
        <v>73</v>
      </c>
      <c r="N5" s="3" t="s">
        <v>74</v>
      </c>
      <c r="O5" s="3" t="s">
        <v>75</v>
      </c>
      <c r="P5" s="3" t="s">
        <v>76</v>
      </c>
      <c r="Q5" s="3" t="s">
        <v>77</v>
      </c>
      <c r="R5" s="3" t="s">
        <v>78</v>
      </c>
      <c r="S5" s="3" t="s">
        <v>79</v>
      </c>
    </row>
    <row r="6" spans="1:19" x14ac:dyDescent="0.2">
      <c r="A6" s="5" t="s">
        <v>51</v>
      </c>
      <c r="B6" s="6">
        <v>164115</v>
      </c>
      <c r="C6" s="6">
        <v>194007</v>
      </c>
      <c r="D6" s="6">
        <v>218065</v>
      </c>
      <c r="E6" s="6">
        <v>166602</v>
      </c>
      <c r="F6" s="6">
        <v>176353</v>
      </c>
      <c r="G6" s="6">
        <v>205830</v>
      </c>
      <c r="H6" s="6">
        <v>265069</v>
      </c>
      <c r="I6" s="6">
        <v>330791</v>
      </c>
      <c r="J6" s="6">
        <v>254012</v>
      </c>
      <c r="K6" s="6">
        <v>264180</v>
      </c>
      <c r="L6" s="6">
        <v>45390</v>
      </c>
      <c r="M6" s="10">
        <v>357373.30576986098</v>
      </c>
      <c r="N6" s="10">
        <v>445981.51118734397</v>
      </c>
      <c r="O6" s="6">
        <v>742789</v>
      </c>
      <c r="P6" s="6">
        <v>978043</v>
      </c>
      <c r="Q6" s="10">
        <v>1321546.8169572051</v>
      </c>
      <c r="R6" s="11">
        <v>0.31671712962900628</v>
      </c>
      <c r="S6" s="11">
        <v>0.35121545469596432</v>
      </c>
    </row>
    <row r="7" spans="1:19" x14ac:dyDescent="0.2">
      <c r="A7" s="5" t="s">
        <v>52</v>
      </c>
      <c r="B7" s="6">
        <v>84527</v>
      </c>
      <c r="C7" s="6">
        <v>97226</v>
      </c>
      <c r="D7" s="6">
        <v>117645</v>
      </c>
      <c r="E7" s="6">
        <v>112675</v>
      </c>
      <c r="F7" s="6">
        <v>151039</v>
      </c>
      <c r="G7" s="6">
        <v>165961</v>
      </c>
      <c r="H7" s="6">
        <v>224328</v>
      </c>
      <c r="I7" s="6">
        <v>200698</v>
      </c>
      <c r="J7" s="6">
        <v>200428</v>
      </c>
      <c r="K7" s="6">
        <v>234300</v>
      </c>
      <c r="L7" s="6">
        <v>49795</v>
      </c>
      <c r="M7" s="10">
        <v>290746.46115162183</v>
      </c>
      <c r="N7" s="10">
        <v>260120.15111893389</v>
      </c>
      <c r="O7" s="6">
        <v>412073</v>
      </c>
      <c r="P7" s="6">
        <v>742026</v>
      </c>
      <c r="Q7" s="10">
        <v>985594.61227055569</v>
      </c>
      <c r="R7" s="11">
        <v>0.80071492187063953</v>
      </c>
      <c r="S7" s="11">
        <v>0.32824808331588867</v>
      </c>
    </row>
    <row r="8" spans="1:19" x14ac:dyDescent="0.2">
      <c r="A8" s="5" t="s">
        <v>53</v>
      </c>
      <c r="B8" s="6">
        <v>48165.96</v>
      </c>
      <c r="C8" s="6">
        <v>53014</v>
      </c>
      <c r="D8" s="6">
        <v>56097</v>
      </c>
      <c r="E8" s="6">
        <v>46076</v>
      </c>
      <c r="F8" s="6">
        <v>77124</v>
      </c>
      <c r="G8" s="6">
        <v>89988</v>
      </c>
      <c r="H8" s="6">
        <v>92967</v>
      </c>
      <c r="I8" s="6">
        <v>112631</v>
      </c>
      <c r="J8" s="6">
        <v>131682</v>
      </c>
      <c r="K8" s="6">
        <v>159855</v>
      </c>
      <c r="L8" s="6">
        <v>25211</v>
      </c>
      <c r="M8" s="10">
        <v>160224.12529721911</v>
      </c>
      <c r="N8" s="10">
        <v>194114.07764422949</v>
      </c>
      <c r="O8" s="6">
        <v>203352.95999999999</v>
      </c>
      <c r="P8" s="6">
        <v>372710</v>
      </c>
      <c r="Q8" s="10">
        <v>645875.20294144843</v>
      </c>
      <c r="R8" s="11">
        <v>0.83282308750263589</v>
      </c>
      <c r="S8" s="11">
        <v>0.73291621620414915</v>
      </c>
    </row>
    <row r="9" spans="1:19" x14ac:dyDescent="0.2">
      <c r="A9" s="5" t="s">
        <v>57</v>
      </c>
      <c r="B9" s="4" t="s">
        <v>80</v>
      </c>
      <c r="C9" s="4" t="s">
        <v>80</v>
      </c>
      <c r="D9" s="4" t="s">
        <v>80</v>
      </c>
      <c r="E9" s="4" t="s">
        <v>80</v>
      </c>
      <c r="F9" s="4" t="s">
        <v>80</v>
      </c>
      <c r="G9" s="4" t="s">
        <v>80</v>
      </c>
      <c r="H9" s="6">
        <v>9690</v>
      </c>
      <c r="I9" s="6">
        <v>27097</v>
      </c>
      <c r="J9" s="6">
        <v>20792</v>
      </c>
      <c r="K9" s="6">
        <v>23226</v>
      </c>
      <c r="L9" s="6">
        <v>5388</v>
      </c>
      <c r="M9" s="10">
        <v>27538.666666666672</v>
      </c>
      <c r="N9" s="10">
        <v>27097</v>
      </c>
      <c r="O9" s="4" t="s">
        <v>80</v>
      </c>
      <c r="P9" s="6">
        <v>36787</v>
      </c>
      <c r="Q9" s="10">
        <v>98653.666666666672</v>
      </c>
      <c r="R9" s="4" t="s">
        <v>80</v>
      </c>
      <c r="S9" s="4" t="s">
        <v>80</v>
      </c>
    </row>
    <row r="10" spans="1:19" x14ac:dyDescent="0.2">
      <c r="A10" s="12" t="s">
        <v>81</v>
      </c>
      <c r="B10" s="13">
        <v>296807.96000000002</v>
      </c>
      <c r="C10" s="13">
        <v>344247</v>
      </c>
      <c r="D10" s="13">
        <v>391807</v>
      </c>
      <c r="E10" s="13">
        <v>325353</v>
      </c>
      <c r="F10" s="13">
        <v>404516</v>
      </c>
      <c r="G10" s="13">
        <v>461779</v>
      </c>
      <c r="H10" s="13">
        <v>592054</v>
      </c>
      <c r="I10" s="13">
        <v>671217</v>
      </c>
      <c r="J10" s="13">
        <v>606914</v>
      </c>
      <c r="K10" s="13">
        <v>681561</v>
      </c>
      <c r="L10" s="13">
        <v>125784</v>
      </c>
      <c r="M10" s="14">
        <v>835882.55888536852</v>
      </c>
      <c r="N10" s="14">
        <v>927312.73995050741</v>
      </c>
      <c r="O10" s="13">
        <v>1358214.96</v>
      </c>
      <c r="P10" s="13">
        <v>2129566</v>
      </c>
      <c r="Q10" s="14">
        <v>3051670.2988358759</v>
      </c>
      <c r="R10" s="15">
        <v>0.56791528787166357</v>
      </c>
      <c r="S10" s="15">
        <v>0.43300104285843971</v>
      </c>
    </row>
    <row r="12" spans="1:19" ht="16" x14ac:dyDescent="0.2">
      <c r="A12" s="9" t="s">
        <v>82</v>
      </c>
    </row>
    <row r="13" spans="1:19" x14ac:dyDescent="0.2">
      <c r="A13" s="3" t="s">
        <v>61</v>
      </c>
      <c r="B13" s="3" t="s">
        <v>62</v>
      </c>
      <c r="C13" s="3" t="s">
        <v>63</v>
      </c>
      <c r="D13" s="3" t="s">
        <v>64</v>
      </c>
      <c r="E13" s="3" t="s">
        <v>65</v>
      </c>
      <c r="F13" s="3" t="s">
        <v>66</v>
      </c>
      <c r="G13" s="3" t="s">
        <v>67</v>
      </c>
      <c r="H13" s="3" t="s">
        <v>68</v>
      </c>
      <c r="I13" s="3" t="s">
        <v>69</v>
      </c>
      <c r="J13" s="3" t="s">
        <v>70</v>
      </c>
      <c r="K13" s="3" t="s">
        <v>71</v>
      </c>
      <c r="L13" s="3" t="s">
        <v>72</v>
      </c>
      <c r="M13" s="3" t="s">
        <v>73</v>
      </c>
      <c r="N13" s="3" t="s">
        <v>74</v>
      </c>
      <c r="O13" s="3" t="s">
        <v>75</v>
      </c>
      <c r="P13" s="3" t="s">
        <v>76</v>
      </c>
      <c r="Q13" s="3" t="s">
        <v>77</v>
      </c>
      <c r="R13" s="3" t="s">
        <v>78</v>
      </c>
      <c r="S13" s="3" t="s">
        <v>79</v>
      </c>
    </row>
    <row r="14" spans="1:19" x14ac:dyDescent="0.2">
      <c r="A14" s="5" t="s">
        <v>51</v>
      </c>
      <c r="B14" s="6">
        <v>200</v>
      </c>
      <c r="C14" s="6">
        <v>227</v>
      </c>
      <c r="D14" s="6">
        <v>269</v>
      </c>
      <c r="E14" s="6">
        <v>202</v>
      </c>
      <c r="F14" s="6">
        <v>217</v>
      </c>
      <c r="G14" s="6">
        <v>262</v>
      </c>
      <c r="H14" s="6">
        <v>394</v>
      </c>
      <c r="I14" s="6">
        <v>555</v>
      </c>
      <c r="J14" s="6">
        <v>477</v>
      </c>
      <c r="K14" s="6">
        <v>461</v>
      </c>
      <c r="L14" s="6">
        <v>81</v>
      </c>
      <c r="M14" s="10">
        <v>747.64618249534453</v>
      </c>
      <c r="N14" s="10">
        <v>1053.1564245810059</v>
      </c>
      <c r="O14" s="6">
        <v>898</v>
      </c>
      <c r="P14" s="6">
        <v>1428</v>
      </c>
      <c r="Q14" s="10">
        <v>2738.8026070763499</v>
      </c>
      <c r="R14" s="11">
        <v>0.59020044543429839</v>
      </c>
      <c r="S14" s="11">
        <v>0.91792899655206583</v>
      </c>
    </row>
    <row r="15" spans="1:19" x14ac:dyDescent="0.2">
      <c r="A15" s="5" t="s">
        <v>52</v>
      </c>
      <c r="B15" s="6">
        <v>5179</v>
      </c>
      <c r="C15" s="6">
        <v>6217</v>
      </c>
      <c r="D15" s="6">
        <v>7030</v>
      </c>
      <c r="E15" s="6">
        <v>5918</v>
      </c>
      <c r="F15" s="6">
        <v>8248</v>
      </c>
      <c r="G15" s="6">
        <v>8249</v>
      </c>
      <c r="H15" s="6">
        <v>10336</v>
      </c>
      <c r="I15" s="6">
        <v>9028</v>
      </c>
      <c r="J15" s="6">
        <v>9482</v>
      </c>
      <c r="K15" s="6">
        <v>11172</v>
      </c>
      <c r="L15" s="6">
        <v>2347</v>
      </c>
      <c r="M15" s="10">
        <v>12540.92609590125</v>
      </c>
      <c r="N15" s="10">
        <v>10953.897135622719</v>
      </c>
      <c r="O15" s="6">
        <v>24344</v>
      </c>
      <c r="P15" s="6">
        <v>35861</v>
      </c>
      <c r="Q15" s="10">
        <v>44148.82323152398</v>
      </c>
      <c r="R15" s="11">
        <v>0.47309398619783122</v>
      </c>
      <c r="S15" s="11">
        <v>0.23110965203212341</v>
      </c>
    </row>
    <row r="16" spans="1:19" x14ac:dyDescent="0.2">
      <c r="A16" s="5" t="s">
        <v>53</v>
      </c>
      <c r="B16" s="6">
        <v>582</v>
      </c>
      <c r="C16" s="6">
        <v>739</v>
      </c>
      <c r="D16" s="6">
        <v>660</v>
      </c>
      <c r="E16" s="6">
        <v>508</v>
      </c>
      <c r="F16" s="6">
        <v>791</v>
      </c>
      <c r="G16" s="6">
        <v>862</v>
      </c>
      <c r="H16" s="6">
        <v>1119</v>
      </c>
      <c r="I16" s="6">
        <v>1386</v>
      </c>
      <c r="J16" s="6">
        <v>1551</v>
      </c>
      <c r="K16" s="6">
        <v>1596</v>
      </c>
      <c r="L16" s="6">
        <v>294</v>
      </c>
      <c r="M16" s="10">
        <v>2113.3254665203071</v>
      </c>
      <c r="N16" s="10">
        <v>2617.5773874862789</v>
      </c>
      <c r="O16" s="6">
        <v>2489</v>
      </c>
      <c r="P16" s="6">
        <v>4158</v>
      </c>
      <c r="Q16" s="10">
        <v>7877.9028540065856</v>
      </c>
      <c r="R16" s="11">
        <v>0.67055042185616709</v>
      </c>
      <c r="S16" s="11">
        <v>0.89463753102611498</v>
      </c>
    </row>
    <row r="17" spans="1:19" x14ac:dyDescent="0.2">
      <c r="A17" s="5" t="s">
        <v>57</v>
      </c>
      <c r="B17" s="4" t="s">
        <v>80</v>
      </c>
      <c r="C17" s="4" t="s">
        <v>80</v>
      </c>
      <c r="D17" s="4" t="s">
        <v>80</v>
      </c>
      <c r="E17" s="4" t="s">
        <v>80</v>
      </c>
      <c r="F17" s="4" t="s">
        <v>80</v>
      </c>
      <c r="G17" s="4" t="s">
        <v>80</v>
      </c>
      <c r="H17" s="6">
        <v>191</v>
      </c>
      <c r="I17" s="6">
        <v>528</v>
      </c>
      <c r="J17" s="6">
        <v>427</v>
      </c>
      <c r="K17" s="6">
        <v>478</v>
      </c>
      <c r="L17" s="6">
        <v>111</v>
      </c>
      <c r="M17" s="10">
        <v>567.33333333333337</v>
      </c>
      <c r="N17" s="10">
        <v>528</v>
      </c>
      <c r="O17" s="4" t="s">
        <v>80</v>
      </c>
      <c r="P17" s="6">
        <v>719</v>
      </c>
      <c r="Q17" s="10">
        <v>2000.333333333333</v>
      </c>
      <c r="R17" s="4" t="s">
        <v>80</v>
      </c>
      <c r="S17" s="4" t="s">
        <v>80</v>
      </c>
    </row>
    <row r="18" spans="1:19" x14ac:dyDescent="0.2">
      <c r="A18" s="12" t="s">
        <v>81</v>
      </c>
      <c r="B18" s="13">
        <v>5961</v>
      </c>
      <c r="C18" s="13">
        <v>7183</v>
      </c>
      <c r="D18" s="13">
        <v>7959</v>
      </c>
      <c r="E18" s="13">
        <v>6628</v>
      </c>
      <c r="F18" s="13">
        <v>9256</v>
      </c>
      <c r="G18" s="13">
        <v>9373</v>
      </c>
      <c r="H18" s="13">
        <v>12040</v>
      </c>
      <c r="I18" s="13">
        <v>11497</v>
      </c>
      <c r="J18" s="13">
        <v>11937</v>
      </c>
      <c r="K18" s="13">
        <v>13707</v>
      </c>
      <c r="L18" s="13">
        <v>2833</v>
      </c>
      <c r="M18" s="14">
        <v>15969.231078250241</v>
      </c>
      <c r="N18" s="14">
        <v>15152.63094769001</v>
      </c>
      <c r="O18" s="13">
        <v>27731</v>
      </c>
      <c r="P18" s="13">
        <v>42166</v>
      </c>
      <c r="Q18" s="14">
        <v>56765.862025940252</v>
      </c>
      <c r="R18" s="15">
        <v>0.52053658360679389</v>
      </c>
      <c r="S18" s="15">
        <v>0.34624726144145179</v>
      </c>
    </row>
    <row r="20" spans="1:19" x14ac:dyDescent="0.2">
      <c r="A20" s="2" t="s">
        <v>83</v>
      </c>
    </row>
    <row r="21" spans="1:19" x14ac:dyDescent="0.2">
      <c r="A21" s="2" t="s">
        <v>84</v>
      </c>
    </row>
    <row r="22" spans="1:19" x14ac:dyDescent="0.2">
      <c r="A22" s="2" t="s">
        <v>85</v>
      </c>
    </row>
    <row r="23" spans="1:19" x14ac:dyDescent="0.2">
      <c r="A23" s="2" t="s">
        <v>86</v>
      </c>
    </row>
    <row r="24" spans="1:19" x14ac:dyDescent="0.2">
      <c r="A24" s="2" t="s">
        <v>87</v>
      </c>
    </row>
    <row r="25" spans="1:19" x14ac:dyDescent="0.2">
      <c r="A25" s="2" t="s">
        <v>88</v>
      </c>
    </row>
    <row r="27" spans="1:19" ht="16" x14ac:dyDescent="0.2">
      <c r="A27" s="18" t="s">
        <v>89</v>
      </c>
    </row>
    <row r="28" spans="1:19" x14ac:dyDescent="0.2">
      <c r="A28" s="19" t="s">
        <v>90</v>
      </c>
      <c r="B28" s="20">
        <v>2024</v>
      </c>
      <c r="C28" s="20">
        <v>2025</v>
      </c>
      <c r="D28" s="20">
        <v>2026</v>
      </c>
    </row>
    <row r="29" spans="1:19" x14ac:dyDescent="0.2">
      <c r="A29" t="s">
        <v>91</v>
      </c>
      <c r="B29" s="21">
        <f>B10</f>
        <v>296807.96000000002</v>
      </c>
      <c r="C29" s="21">
        <f>F10</f>
        <v>404516</v>
      </c>
      <c r="D29" s="21">
        <f>J10</f>
        <v>606914</v>
      </c>
    </row>
    <row r="30" spans="1:19" x14ac:dyDescent="0.2">
      <c r="A30" t="s">
        <v>92</v>
      </c>
      <c r="B30" s="21">
        <f>C10</f>
        <v>344247</v>
      </c>
      <c r="C30" s="21">
        <f>G10</f>
        <v>461779</v>
      </c>
      <c r="D30" s="21">
        <f>K10</f>
        <v>681561</v>
      </c>
    </row>
    <row r="31" spans="1:19" x14ac:dyDescent="0.2">
      <c r="A31" t="s">
        <v>93</v>
      </c>
      <c r="B31" s="21">
        <f>D10</f>
        <v>391807</v>
      </c>
      <c r="C31" s="21">
        <f>H10</f>
        <v>592054</v>
      </c>
      <c r="D31" s="21">
        <f>M10</f>
        <v>835882.55888536852</v>
      </c>
    </row>
    <row r="32" spans="1:19" x14ac:dyDescent="0.2">
      <c r="A32" t="s">
        <v>94</v>
      </c>
      <c r="B32" s="21">
        <f>E10</f>
        <v>325353</v>
      </c>
      <c r="C32" s="21">
        <f>I10</f>
        <v>671217</v>
      </c>
      <c r="D32" s="21">
        <f>N10</f>
        <v>927312.73995050741</v>
      </c>
    </row>
    <row r="33" spans="1:1" x14ac:dyDescent="0.2">
      <c r="A33" s="22" t="s">
        <v>95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 10 unidades</vt:lpstr>
      <vt:lpstr>Top 10 facturación</vt:lpstr>
      <vt:lpstr>Trimestral 2024-2026 + proy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David Mayorga Monge</cp:lastModifiedBy>
  <dcterms:created xsi:type="dcterms:W3CDTF">2026-07-19T04:56:50Z</dcterms:created>
  <dcterms:modified xsi:type="dcterms:W3CDTF">2026-07-19T05:10:28Z</dcterms:modified>
</cp:coreProperties>
</file>